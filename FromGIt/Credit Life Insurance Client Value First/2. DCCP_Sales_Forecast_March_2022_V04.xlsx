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ccp-my.sharepoint.com/personal/ravelle_dccp_co_za/Documents/Desktop/S&amp;R MANAGER/DOCUMENT PACK/"/>
    </mc:Choice>
  </mc:AlternateContent>
  <xr:revisionPtr revIDLastSave="35" documentId="8_{E1B95110-C797-4381-8BF6-3BF7D6F89FB5}" xr6:coauthVersionLast="47" xr6:coauthVersionMax="47" xr10:uidLastSave="{51364586-C822-4394-9571-2D48DCDEE55B}"/>
  <bookViews>
    <workbookView xWindow="-108" yWindow="-108" windowWidth="23256" windowHeight="12456" xr2:uid="{1211503C-116A-4954-85B3-83E1F8E0D794}"/>
  </bookViews>
  <sheets>
    <sheet name="CLI" sheetId="5" r:id="rId1"/>
    <sheet name="INCOME PROTECTOR" sheetId="7" r:id="rId2"/>
    <sheet name="FUNERAL" sheetId="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5" l="1"/>
  <c r="D29" i="5"/>
  <c r="E29" i="5"/>
  <c r="F29" i="5"/>
  <c r="G29" i="5"/>
  <c r="H29" i="5"/>
  <c r="I29" i="5"/>
  <c r="J29" i="5"/>
  <c r="K29" i="5"/>
  <c r="L29" i="5"/>
  <c r="M29" i="5"/>
  <c r="B29" i="5"/>
  <c r="M15" i="8"/>
  <c r="L15" i="8"/>
  <c r="K15" i="8"/>
  <c r="J15" i="8"/>
  <c r="I15" i="8"/>
  <c r="H15" i="8"/>
  <c r="G15" i="8"/>
  <c r="F15" i="8"/>
  <c r="E15" i="8"/>
  <c r="D15" i="8"/>
  <c r="C15" i="8"/>
  <c r="B15" i="8"/>
  <c r="B16" i="8" s="1"/>
  <c r="B28" i="8" s="1"/>
  <c r="B19" i="7"/>
  <c r="M15" i="7"/>
  <c r="L15" i="7"/>
  <c r="K15" i="7"/>
  <c r="J15" i="7"/>
  <c r="I15" i="7"/>
  <c r="H15" i="7"/>
  <c r="G15" i="7"/>
  <c r="F15" i="7"/>
  <c r="E15" i="7"/>
  <c r="D15" i="7"/>
  <c r="C15" i="7"/>
  <c r="B15" i="7"/>
  <c r="B16" i="7" s="1"/>
  <c r="B20" i="7" s="1"/>
  <c r="B21" i="7" l="1"/>
  <c r="B27" i="8"/>
  <c r="B20" i="8"/>
  <c r="B22" i="8"/>
  <c r="B26" i="8"/>
  <c r="C14" i="8"/>
  <c r="C16" i="8" s="1"/>
  <c r="B21" i="8"/>
  <c r="C14" i="7"/>
  <c r="C16" i="7" s="1"/>
  <c r="M23" i="5"/>
  <c r="L23" i="5"/>
  <c r="K23" i="5"/>
  <c r="J23" i="5"/>
  <c r="I23" i="5"/>
  <c r="H23" i="5"/>
  <c r="G23" i="5"/>
  <c r="F23" i="5"/>
  <c r="E23" i="5"/>
  <c r="D23" i="5"/>
  <c r="C23" i="5"/>
  <c r="B23" i="5"/>
  <c r="C19" i="7" l="1"/>
  <c r="C20" i="7"/>
  <c r="C21" i="7"/>
  <c r="C28" i="8"/>
  <c r="C26" i="8"/>
  <c r="C27" i="8"/>
  <c r="C21" i="8"/>
  <c r="C22" i="8"/>
  <c r="C20" i="8"/>
  <c r="D14" i="8"/>
  <c r="D16" i="8" s="1"/>
  <c r="D14" i="7"/>
  <c r="D16" i="7" s="1"/>
  <c r="B24" i="5"/>
  <c r="C22" i="5" s="1"/>
  <c r="C24" i="5" s="1"/>
  <c r="D22" i="5" s="1"/>
  <c r="D24" i="5" s="1"/>
  <c r="D19" i="7" l="1"/>
  <c r="D21" i="7"/>
  <c r="D20" i="7"/>
  <c r="D27" i="8"/>
  <c r="D28" i="8"/>
  <c r="D26" i="8"/>
  <c r="D21" i="8"/>
  <c r="D20" i="8"/>
  <c r="D22" i="8"/>
  <c r="E14" i="8"/>
  <c r="E16" i="8" s="1"/>
  <c r="E14" i="7"/>
  <c r="E16" i="7" s="1"/>
  <c r="B27" i="5"/>
  <c r="C27" i="5"/>
  <c r="D27" i="5"/>
  <c r="E22" i="5"/>
  <c r="E24" i="5" s="1"/>
  <c r="E20" i="7" l="1"/>
  <c r="E19" i="7"/>
  <c r="E21" i="7"/>
  <c r="E26" i="8"/>
  <c r="E27" i="8"/>
  <c r="E28" i="8"/>
  <c r="E21" i="8"/>
  <c r="E20" i="8"/>
  <c r="E22" i="8"/>
  <c r="F14" i="8"/>
  <c r="F16" i="8" s="1"/>
  <c r="F14" i="7"/>
  <c r="F16" i="7" s="1"/>
  <c r="E27" i="5"/>
  <c r="F22" i="5"/>
  <c r="F24" i="5" s="1"/>
  <c r="F20" i="7" l="1"/>
  <c r="F19" i="7"/>
  <c r="F21" i="7"/>
  <c r="F26" i="8"/>
  <c r="F27" i="8"/>
  <c r="F28" i="8"/>
  <c r="F22" i="8"/>
  <c r="F20" i="8"/>
  <c r="F21" i="8"/>
  <c r="G14" i="8"/>
  <c r="G16" i="8" s="1"/>
  <c r="G14" i="7"/>
  <c r="G16" i="7" s="1"/>
  <c r="G22" i="5"/>
  <c r="G24" i="5" s="1"/>
  <c r="F27" i="5"/>
  <c r="G20" i="7" l="1"/>
  <c r="G21" i="7"/>
  <c r="G19" i="7"/>
  <c r="G27" i="8"/>
  <c r="G28" i="8"/>
  <c r="G26" i="8"/>
  <c r="G22" i="8"/>
  <c r="G21" i="8"/>
  <c r="G20" i="8"/>
  <c r="H14" i="8"/>
  <c r="H16" i="8" s="1"/>
  <c r="H14" i="7"/>
  <c r="H16" i="7" s="1"/>
  <c r="H22" i="5"/>
  <c r="H24" i="5" s="1"/>
  <c r="G27" i="5"/>
  <c r="H21" i="7" l="1"/>
  <c r="H20" i="7"/>
  <c r="H19" i="7"/>
  <c r="H28" i="8"/>
  <c r="H26" i="8"/>
  <c r="H27" i="8"/>
  <c r="H20" i="8"/>
  <c r="H22" i="8"/>
  <c r="H21" i="8"/>
  <c r="I14" i="8"/>
  <c r="I16" i="8" s="1"/>
  <c r="I14" i="7"/>
  <c r="I16" i="7" s="1"/>
  <c r="I22" i="5"/>
  <c r="I24" i="5" s="1"/>
  <c r="H27" i="5"/>
  <c r="I21" i="7" l="1"/>
  <c r="I19" i="7"/>
  <c r="I20" i="7"/>
  <c r="I27" i="8"/>
  <c r="I28" i="8"/>
  <c r="I26" i="8"/>
  <c r="I21" i="8"/>
  <c r="I20" i="8"/>
  <c r="I22" i="8"/>
  <c r="J14" i="8"/>
  <c r="J16" i="8" s="1"/>
  <c r="J14" i="7"/>
  <c r="J16" i="7" s="1"/>
  <c r="I27" i="5"/>
  <c r="J22" i="5"/>
  <c r="J24" i="5" s="1"/>
  <c r="J19" i="7" l="1"/>
  <c r="J21" i="7"/>
  <c r="J20" i="7"/>
  <c r="J27" i="8"/>
  <c r="J28" i="8"/>
  <c r="J26" i="8"/>
  <c r="J20" i="8"/>
  <c r="J21" i="8"/>
  <c r="J22" i="8"/>
  <c r="K14" i="8"/>
  <c r="K16" i="8" s="1"/>
  <c r="K14" i="7"/>
  <c r="K16" i="7" s="1"/>
  <c r="J27" i="5"/>
  <c r="K22" i="5"/>
  <c r="K24" i="5" s="1"/>
  <c r="K19" i="7" l="1"/>
  <c r="K21" i="7"/>
  <c r="K20" i="7"/>
  <c r="K28" i="8"/>
  <c r="K26" i="8"/>
  <c r="K27" i="8"/>
  <c r="K21" i="8"/>
  <c r="K22" i="8"/>
  <c r="K20" i="8"/>
  <c r="L14" i="8"/>
  <c r="L16" i="8" s="1"/>
  <c r="L14" i="7"/>
  <c r="L16" i="7" s="1"/>
  <c r="L22" i="5"/>
  <c r="L24" i="5" s="1"/>
  <c r="K27" i="5"/>
  <c r="L19" i="7" l="1"/>
  <c r="L21" i="7"/>
  <c r="L20" i="7"/>
  <c r="L27" i="8"/>
  <c r="L28" i="8"/>
  <c r="L26" i="8"/>
  <c r="L21" i="8"/>
  <c r="L22" i="8"/>
  <c r="L20" i="8"/>
  <c r="M14" i="8"/>
  <c r="M16" i="8" s="1"/>
  <c r="M14" i="7"/>
  <c r="M16" i="7" s="1"/>
  <c r="L27" i="5"/>
  <c r="M22" i="5"/>
  <c r="M20" i="7" l="1"/>
  <c r="M19" i="7"/>
  <c r="M21" i="7"/>
  <c r="M28" i="8"/>
  <c r="M26" i="8"/>
  <c r="M27" i="8"/>
  <c r="M21" i="8"/>
  <c r="M20" i="8"/>
  <c r="M22" i="8"/>
  <c r="M24" i="5"/>
  <c r="M27" i="5" s="1"/>
</calcChain>
</file>

<file path=xl/sharedStrings.xml><?xml version="1.0" encoding="utf-8"?>
<sst xmlns="http://schemas.openxmlformats.org/spreadsheetml/2006/main" count="83" uniqueCount="46">
  <si>
    <t>40% REVENUE FORECAST</t>
  </si>
  <si>
    <t>CREDIT LIFE INSURANCE</t>
  </si>
  <si>
    <t>Per 1000</t>
  </si>
  <si>
    <t xml:space="preserve">Avg Rate per 1000 Price </t>
  </si>
  <si>
    <t xml:space="preserve">Average monthly amount </t>
  </si>
  <si>
    <t xml:space="preserve"> </t>
  </si>
  <si>
    <t>AU @ 15%</t>
  </si>
  <si>
    <t>DCCP @ 15%</t>
  </si>
  <si>
    <t>Claims @ 30%</t>
  </si>
  <si>
    <t>DC @ 40%</t>
  </si>
  <si>
    <t xml:space="preserve">12 MONTH FORECAST </t>
  </si>
  <si>
    <t>Conversion Rate</t>
  </si>
  <si>
    <t xml:space="preserve">Month 1 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</si>
  <si>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</si>
  <si>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</si>
  <si>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</si>
  <si>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</si>
  <si>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</si>
  <si>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</si>
  <si>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</si>
  <si>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</si>
  <si>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</si>
  <si>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</si>
  <si>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</si>
  <si>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Clients requesting consolidation CL</t>
  </si>
  <si>
    <t xml:space="preserve">Opening balance active clients </t>
  </si>
  <si>
    <t>New clients Approved</t>
  </si>
  <si>
    <t xml:space="preserve">Total number of active clients </t>
  </si>
  <si>
    <t xml:space="preserve">Total Month Premium </t>
  </si>
  <si>
    <t>REVENUE FORECAST</t>
  </si>
  <si>
    <t>INCOME PROTECTOR</t>
  </si>
  <si>
    <t xml:space="preserve">Policy approval rate </t>
  </si>
  <si>
    <t>Clients requesting income Protector</t>
  </si>
  <si>
    <t>Total Month Premium - R 5000 @ R 15,00</t>
  </si>
  <si>
    <t>Total Month Premium - R 10000 @ R 20,00</t>
  </si>
  <si>
    <t>Total Month Premium - R 15000 @ R 25,00</t>
  </si>
  <si>
    <t>FUNERAL</t>
  </si>
  <si>
    <t>Individual</t>
  </si>
  <si>
    <t>Total Month Premium - R 10000 @ R 17,00</t>
  </si>
  <si>
    <t>Total Month Premium - R 20000 @ R 20,00</t>
  </si>
  <si>
    <t>Total Month Premium - R 30000 @ R 22,00</t>
  </si>
  <si>
    <t>Family</t>
  </si>
  <si>
    <t>Total Month Premium - R 10000 @ R 19,00</t>
  </si>
  <si>
    <t>Total Month Premium - R 20000 @ R 22,00</t>
  </si>
  <si>
    <t>Total Month Premium - R 30000 @ R 33,00</t>
  </si>
  <si>
    <t>100 sales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</si>
</sst>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&quot;* #,##0.00_-;\-&quot;R&quot;* #,##0.00_-;_-&quot;R&quot;* &quot;-&quot;??_-;_-@_-"/>
    <numFmt numFmtId="164" formatCode="&quot;R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164" fontId="4" fillId="0" borderId="0" xfId="0" applyNumberFormat="1" applyFont="1" applyAlignment="1">
      <alignment horizontal="left"/>
    </xf>
    <xf numFmtId="0" fontId="5" fillId="0" borderId="0" xfId="0" applyFont="1"/>
    <xf numFmtId="9" fontId="2" fillId="0" borderId="0" xfId="0" applyNumberFormat="1" applyFont="1"/>
    <xf numFmtId="164" fontId="3" fillId="0" borderId="0" xfId="0" applyNumberFormat="1" applyFont="1" applyAlignment="1">
      <alignment horizontal="left"/>
    </xf>
    <xf numFmtId="164" fontId="4" fillId="0" borderId="0" xfId="0" applyNumberFormat="1" applyFont="1"/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</cellXfs>
  <cellStyles count="2">
    <cellStyle name="Currency 3" xfId="1" xr:uid="{AF06CF3D-7412-4E9B-90EC-72191DAFF66A}"/>
    <cellStyle name="Normal" xfId="0" builtinId="0"/>
  </cellStyles>
  <dxfs count="0"/>
  <tableStyles count="0" defaultTableStyle="TableStyleMedium2" defaultPivotStyle="PivotStyleLight16"/>
  <colors>
    <mruColors>
      <color rgb="FFB4C6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129540</xdr:colOff>
      <xdr:row>0</xdr:row>
      <xdr:rowOff>68580</xdr:rowOff>
    </xdr:from>
    <xdr:to>
      <xdr:col>11</xdr:col>
      <xdr:colOff>1141476</xdr:colOff>
      <xdr:row>3</xdr:row>
      <xdr:rowOff>122962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DE065B-F256-43E4-B4DD-010CFABBD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4200" y="68580"/>
          <a:ext cx="2200656" cy="8220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129540</xdr:colOff>
      <xdr:row>0</xdr:row>
      <xdr:rowOff>68580</xdr:rowOff>
    </xdr:from>
    <xdr:to>
      <xdr:col>12</xdr:col>
      <xdr:colOff>122936</xdr:colOff>
      <xdr:row>3</xdr:row>
      <xdr:rowOff>126772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51D3EB-F0C1-46C2-BCB0-78B3DAFFD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4200" y="68580"/>
          <a:ext cx="2204466" cy="8182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129540</xdr:colOff>
      <xdr:row>0</xdr:row>
      <xdr:rowOff>68580</xdr:rowOff>
    </xdr:from>
    <xdr:to>
      <xdr:col>12</xdr:col>
      <xdr:colOff>221361</xdr:colOff>
      <xdr:row>3</xdr:row>
      <xdr:rowOff>122962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F4A6FD-47CA-4DB8-8416-D46C0EA08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4200" y="68580"/>
          <a:ext cx="2204466" cy="8182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84778-B205-4BEF-8176-8CB6C26E6CDC}">
  <sheetPr>
    <pageSetUpPr fitToPage="1"/>
  </sheetPr>
  <dimension ref="A2:M30"/>
  <sheetViews>
    <sheetView tabSelected="1" topLeftCell="A14" zoomScale="68" zoomScaleNormal="68" workbookViewId="0">
      <selection activeCell="C33" sqref="C33"/>
    </sheetView>
  </sheetViews>
  <sheetFormatPr defaultColWidth="9.21875" defaultRowHeight="21" x14ac:dyDescent="0.4"/>
  <cols>
    <col min="1" max="1" width="45.44140625" style="1" customWidth="1"/>
    <col min="2" max="3" width="15.5546875" style="1" bestFit="1" customWidth="1"/>
    <col min="4" max="4" width="16.77734375" style="1" bestFit="1" customWidth="1"/>
    <col min="5" max="9" width="17" style="1" bestFit="1" customWidth="1"/>
    <col min="10" max="13" width="17.21875" style="1" bestFit="1" customWidth="1"/>
    <col min="14" max="16384" width="9.21875" style="1"/>
  </cols>
  <sheetData>
    <row r="2" spans="1:8" x14ac:dyDescent="0.4">
      <c r="E2" s="2" t="s">
        <v>0</v>
      </c>
    </row>
    <row r="3" spans="1:8" x14ac:dyDescent="0.4">
      <c r="A3" s="2" t="s">
        <v>1</v>
      </c>
      <c r="E3" s="3"/>
    </row>
    <row r="4" spans="1:8" x14ac:dyDescent="0.4">
      <c r="E4" s="3"/>
    </row>
    <row r="5" spans="1:8" x14ac:dyDescent="0.4">
      <c r="A5" s="3" t="s">
        <v>45</v>
      </c>
      <c r="F5" s="3"/>
    </row>
    <row r="6" spans="1:8" x14ac:dyDescent="0.4">
      <c r="A6" s="1" t="s">
        <v>2</v>
      </c>
      <c r="B6" s="1">
        <v>1000</v>
      </c>
    </row>
    <row r="7" spans="1:8" hidden="1" x14ac:dyDescent="0.4">
      <c r="A7" s="1" t="s">
        <v>2</v>
      </c>
      <c r="B7" s="1">
        <v>1000</v>
      </c>
    </row>
    <row r="8" spans="1:8" x14ac:dyDescent="0.4">
      <c r="A8" s="1" t="s">
        <v>3</v>
      </c>
      <c r="B8" s="1">
        <v>3.5</v>
      </c>
      <c r="G8" s="2"/>
      <c r="H8" s="12"/>
    </row>
    <row r="9" spans="1:8" x14ac:dyDescent="0.4">
      <c r="A9" s="1" t="s">
        <v>4</v>
      </c>
      <c r="B9" s="1">
        <v>420</v>
      </c>
      <c r="E9" s="1" t="s">
        <v>5</v>
      </c>
    </row>
    <row r="10" spans="1:8" hidden="1" x14ac:dyDescent="0.4">
      <c r="A10" s="1" t="s">
        <v>6</v>
      </c>
      <c r="B10" s="13">
        <v>0.15</v>
      </c>
    </row>
    <row r="11" spans="1:8" hidden="1" x14ac:dyDescent="0.4">
      <c r="A11" s="1" t="s">
        <v>7</v>
      </c>
      <c r="B11" s="13">
        <v>0.15</v>
      </c>
    </row>
    <row r="12" spans="1:8" hidden="1" x14ac:dyDescent="0.4">
      <c r="A12" s="1" t="s">
        <v>8</v>
      </c>
      <c r="B12" s="13">
        <v>0.3</v>
      </c>
    </row>
    <row r="13" spans="1:8" x14ac:dyDescent="0.4">
      <c r="A13" s="1" t="s">
        <v>9</v>
      </c>
      <c r="B13" s="13">
        <v>0.4</v>
      </c>
    </row>
    <row r="15" spans="1:8" x14ac:dyDescent="0.4">
      <c r="A15" s="3" t="s">
        <v>10</v>
      </c>
    </row>
    <row r="16" spans="1:8" x14ac:dyDescent="0.4">
      <c r="A16" s="5"/>
    </row>
    <row r="17" spans="1:13" x14ac:dyDescent="0.4">
      <c r="A17" s="17" t="s">
        <v>11</v>
      </c>
      <c r="B17" s="3">
        <v>1</v>
      </c>
    </row>
    <row r="18" spans="1:13" x14ac:dyDescent="0.4">
      <c r="A18" s="5"/>
    </row>
    <row r="19" spans="1:13" x14ac:dyDescent="0.4">
      <c r="A19" s="5"/>
      <c r="B19" s="4" t="s">
        <v>12</v>
      </c>
      <c r="C19" s="4" t="s">
        <v>13</v>
      </c>
      <c r="D19" s="4" t="s">
        <v>14</v>
      </c>
      <c r="E19" s="4" t="s">
        <v>15</v>
      </c>
      <c r="F19" s="4" t="s">
        <v>16</v>
      </c>
      <c r="G19" s="4" t="s">
        <v>17</v>
      </c>
      <c r="H19" s="4" t="s">
        <v>18</v>
      </c>
      <c r="I19" s="4" t="s">
        <v>19</v>
      </c>
      <c r="J19" s="4" t="s">
        <v>20</v>
      </c>
      <c r="K19" s="4" t="s">
        <v>21</v>
      </c>
      <c r="L19" s="4" t="s">
        <v>22</v>
      </c>
      <c r="M19" s="4" t="s">
        <v>23</v>
      </c>
    </row>
    <row r="20" spans="1:13" x14ac:dyDescent="0.4">
      <c r="A20" s="5" t="s">
        <v>24</v>
      </c>
      <c r="B20" s="6">
        <v>100</v>
      </c>
      <c r="C20" s="6">
        <v>100</v>
      </c>
      <c r="D20" s="6">
        <v>100</v>
      </c>
      <c r="E20" s="6">
        <v>100</v>
      </c>
      <c r="F20" s="6">
        <v>100</v>
      </c>
      <c r="G20" s="6">
        <v>100</v>
      </c>
      <c r="H20" s="6">
        <v>100</v>
      </c>
      <c r="I20" s="6">
        <v>100</v>
      </c>
      <c r="J20" s="6">
        <v>100</v>
      </c>
      <c r="K20" s="6">
        <v>100</v>
      </c>
      <c r="L20" s="6">
        <v>100</v>
      </c>
      <c r="M20" s="6">
        <v>100</v>
      </c>
    </row>
    <row r="21" spans="1:13" x14ac:dyDescent="0.4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1:13" x14ac:dyDescent="0.4">
      <c r="A22" s="5" t="s">
        <v>25</v>
      </c>
      <c r="B22" s="7">
        <v>0</v>
      </c>
      <c r="C22" s="7">
        <f>B22+B24</f>
        <v>100</v>
      </c>
      <c r="D22" s="7">
        <f t="shared" ref="D22:M22" si="0">C24</f>
        <v>200</v>
      </c>
      <c r="E22" s="7">
        <f t="shared" si="0"/>
        <v>300</v>
      </c>
      <c r="F22" s="7">
        <f t="shared" si="0"/>
        <v>400</v>
      </c>
      <c r="G22" s="7">
        <f t="shared" si="0"/>
        <v>500</v>
      </c>
      <c r="H22" s="7">
        <f t="shared" si="0"/>
        <v>600</v>
      </c>
      <c r="I22" s="7">
        <f t="shared" si="0"/>
        <v>700</v>
      </c>
      <c r="J22" s="7">
        <f t="shared" si="0"/>
        <v>800</v>
      </c>
      <c r="K22" s="7">
        <f t="shared" si="0"/>
        <v>900</v>
      </c>
      <c r="L22" s="7">
        <f t="shared" si="0"/>
        <v>1000</v>
      </c>
      <c r="M22" s="7">
        <f t="shared" si="0"/>
        <v>1100</v>
      </c>
    </row>
    <row r="23" spans="1:13" s="6" customFormat="1" x14ac:dyDescent="0.4">
      <c r="A23" s="5" t="s">
        <v>26</v>
      </c>
      <c r="B23" s="6">
        <f>B20*B17</f>
        <v>100</v>
      </c>
      <c r="C23" s="6">
        <f>C20*B17</f>
        <v>100</v>
      </c>
      <c r="D23" s="6">
        <f>D20*B17</f>
        <v>100</v>
      </c>
      <c r="E23" s="6">
        <f>E20*B17</f>
        <v>100</v>
      </c>
      <c r="F23" s="6">
        <f>F20*B17</f>
        <v>100</v>
      </c>
      <c r="G23" s="6">
        <f>G20*B17</f>
        <v>100</v>
      </c>
      <c r="H23" s="6">
        <f>H20*B17</f>
        <v>100</v>
      </c>
      <c r="I23" s="6">
        <f>I20*B17</f>
        <v>100</v>
      </c>
      <c r="J23" s="6">
        <f>J20*B17</f>
        <v>100</v>
      </c>
      <c r="K23" s="6">
        <f>K20*B17</f>
        <v>100</v>
      </c>
      <c r="L23" s="6">
        <f>L20*B17</f>
        <v>100</v>
      </c>
      <c r="M23" s="6">
        <f>M20*B17</f>
        <v>100</v>
      </c>
    </row>
    <row r="24" spans="1:13" s="6" customFormat="1" x14ac:dyDescent="0.4">
      <c r="A24" s="5" t="s">
        <v>27</v>
      </c>
      <c r="B24" s="7">
        <f t="shared" ref="B24:M24" si="1">B22+B23</f>
        <v>100</v>
      </c>
      <c r="C24" s="7">
        <f t="shared" si="1"/>
        <v>200</v>
      </c>
      <c r="D24" s="7">
        <f t="shared" si="1"/>
        <v>300</v>
      </c>
      <c r="E24" s="7">
        <f t="shared" si="1"/>
        <v>400</v>
      </c>
      <c r="F24" s="7">
        <f t="shared" si="1"/>
        <v>500</v>
      </c>
      <c r="G24" s="7">
        <f t="shared" si="1"/>
        <v>600</v>
      </c>
      <c r="H24" s="7">
        <f t="shared" si="1"/>
        <v>700</v>
      </c>
      <c r="I24" s="7">
        <f t="shared" si="1"/>
        <v>800</v>
      </c>
      <c r="J24" s="7">
        <f t="shared" si="1"/>
        <v>900</v>
      </c>
      <c r="K24" s="7">
        <f t="shared" si="1"/>
        <v>1000</v>
      </c>
      <c r="L24" s="7">
        <f t="shared" si="1"/>
        <v>1100</v>
      </c>
      <c r="M24" s="7">
        <f t="shared" si="1"/>
        <v>1200</v>
      </c>
    </row>
    <row r="25" spans="1:13" x14ac:dyDescent="0.4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s="10" customFormat="1" x14ac:dyDescent="0.4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</row>
    <row r="27" spans="1:13" s="10" customFormat="1" x14ac:dyDescent="0.4">
      <c r="A27" s="8" t="s">
        <v>28</v>
      </c>
      <c r="B27" s="9">
        <f>B9*B24</f>
        <v>42000</v>
      </c>
      <c r="C27" s="9">
        <f>B9*C24</f>
        <v>84000</v>
      </c>
      <c r="D27" s="9">
        <f>B9*D24</f>
        <v>126000</v>
      </c>
      <c r="E27" s="9">
        <f>B9*E24</f>
        <v>168000</v>
      </c>
      <c r="F27" s="9">
        <f>B9*F24</f>
        <v>210000</v>
      </c>
      <c r="G27" s="9">
        <f>B9*G24</f>
        <v>252000</v>
      </c>
      <c r="H27" s="9">
        <f>B9*H24</f>
        <v>294000</v>
      </c>
      <c r="I27" s="9">
        <f>B9*I24</f>
        <v>336000</v>
      </c>
      <c r="J27" s="9">
        <f>B9*J24</f>
        <v>378000</v>
      </c>
      <c r="K27" s="9">
        <f>B9*K24</f>
        <v>420000</v>
      </c>
      <c r="L27" s="9">
        <f>B9*L24</f>
        <v>462000</v>
      </c>
      <c r="M27" s="9">
        <f>B9*M24</f>
        <v>504000</v>
      </c>
    </row>
    <row r="28" spans="1:13" s="10" customFormat="1" x14ac:dyDescent="0.4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13" s="10" customFormat="1" x14ac:dyDescent="0.4">
      <c r="A29" s="15" t="s">
        <v>9</v>
      </c>
      <c r="B29" s="16">
        <f>B27*40%</f>
        <v>16800</v>
      </c>
      <c r="C29" s="16">
        <f t="shared" ref="C29:M29" si="2">C27*40%</f>
        <v>33600</v>
      </c>
      <c r="D29" s="16">
        <f t="shared" si="2"/>
        <v>50400</v>
      </c>
      <c r="E29" s="16">
        <f t="shared" si="2"/>
        <v>67200</v>
      </c>
      <c r="F29" s="16">
        <f t="shared" si="2"/>
        <v>84000</v>
      </c>
      <c r="G29" s="16">
        <f t="shared" si="2"/>
        <v>100800</v>
      </c>
      <c r="H29" s="16">
        <f t="shared" si="2"/>
        <v>117600</v>
      </c>
      <c r="I29" s="16">
        <f t="shared" si="2"/>
        <v>134400</v>
      </c>
      <c r="J29" s="16">
        <f t="shared" si="2"/>
        <v>151200</v>
      </c>
      <c r="K29" s="16">
        <f t="shared" si="2"/>
        <v>168000</v>
      </c>
      <c r="L29" s="16">
        <f t="shared" si="2"/>
        <v>184800</v>
      </c>
      <c r="M29" s="16">
        <f t="shared" si="2"/>
        <v>201600</v>
      </c>
    </row>
    <row r="30" spans="1:13" x14ac:dyDescent="0.4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</sheetData>
  <pageMargins left="0.25" right="0.25" top="0.75" bottom="0.75" header="0.3" footer="0.3"/>
  <pageSetup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CC211-34F3-4B45-90D3-A321F3D7AEAD}">
  <sheetPr>
    <pageSetUpPr fitToPage="1"/>
  </sheetPr>
  <dimension ref="A2:M21"/>
  <sheetViews>
    <sheetView zoomScale="60" zoomScaleNormal="60" workbookViewId="0">
      <selection activeCell="E6" sqref="E6"/>
    </sheetView>
  </sheetViews>
  <sheetFormatPr defaultColWidth="9.21875" defaultRowHeight="21" x14ac:dyDescent="0.4"/>
  <cols>
    <col min="1" max="1" width="58" style="1" bestFit="1" customWidth="1"/>
    <col min="2" max="4" width="14.33203125" style="1" bestFit="1" customWidth="1"/>
    <col min="5" max="5" width="27.21875" style="1" bestFit="1" customWidth="1"/>
    <col min="6" max="13" width="16.109375" style="1" bestFit="1" customWidth="1"/>
    <col min="14" max="16384" width="9.21875" style="1"/>
  </cols>
  <sheetData>
    <row r="2" spans="1:13" x14ac:dyDescent="0.4">
      <c r="E2" s="2" t="s">
        <v>29</v>
      </c>
    </row>
    <row r="3" spans="1:13" x14ac:dyDescent="0.4">
      <c r="A3" s="2" t="s">
        <v>30</v>
      </c>
      <c r="E3" s="3"/>
    </row>
    <row r="4" spans="1:13" x14ac:dyDescent="0.4">
      <c r="E4" s="3"/>
    </row>
    <row r="5" spans="1:13" x14ac:dyDescent="0.4">
      <c r="A5" s="3"/>
      <c r="F5" s="3"/>
    </row>
    <row r="7" spans="1:13" x14ac:dyDescent="0.4">
      <c r="A7" s="3" t="s">
        <v>10</v>
      </c>
    </row>
    <row r="9" spans="1:13" x14ac:dyDescent="0.4">
      <c r="A9" s="1" t="s">
        <v>31</v>
      </c>
      <c r="B9" s="1">
        <v>1</v>
      </c>
    </row>
    <row r="11" spans="1:13" x14ac:dyDescent="0.4">
      <c r="B11" s="4" t="s">
        <v>12</v>
      </c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</row>
    <row r="12" spans="1:13" x14ac:dyDescent="0.4">
      <c r="A12" s="5" t="s">
        <v>32</v>
      </c>
      <c r="B12" s="6">
        <v>100</v>
      </c>
      <c r="C12" s="6">
        <v>100</v>
      </c>
      <c r="D12" s="6">
        <v>100</v>
      </c>
      <c r="E12" s="6">
        <v>100</v>
      </c>
      <c r="F12" s="6">
        <v>100</v>
      </c>
      <c r="G12" s="6">
        <v>100</v>
      </c>
      <c r="H12" s="6">
        <v>100</v>
      </c>
      <c r="I12" s="6">
        <v>100</v>
      </c>
      <c r="J12" s="6">
        <v>100</v>
      </c>
      <c r="K12" s="6">
        <v>100</v>
      </c>
      <c r="L12" s="6">
        <v>100</v>
      </c>
      <c r="M12" s="6">
        <v>100</v>
      </c>
    </row>
    <row r="13" spans="1:13" x14ac:dyDescent="0.4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 x14ac:dyDescent="0.4">
      <c r="A14" s="5" t="s">
        <v>25</v>
      </c>
      <c r="B14" s="7">
        <v>0</v>
      </c>
      <c r="C14" s="7">
        <f>B14+B16</f>
        <v>100</v>
      </c>
      <c r="D14" s="7">
        <f t="shared" ref="D14:M14" si="0">C16</f>
        <v>200</v>
      </c>
      <c r="E14" s="7">
        <f t="shared" si="0"/>
        <v>300</v>
      </c>
      <c r="F14" s="7">
        <f t="shared" si="0"/>
        <v>400</v>
      </c>
      <c r="G14" s="7">
        <f t="shared" si="0"/>
        <v>500</v>
      </c>
      <c r="H14" s="7">
        <f t="shared" si="0"/>
        <v>600</v>
      </c>
      <c r="I14" s="7">
        <f t="shared" si="0"/>
        <v>700</v>
      </c>
      <c r="J14" s="7">
        <f t="shared" si="0"/>
        <v>800</v>
      </c>
      <c r="K14" s="7">
        <f t="shared" si="0"/>
        <v>900</v>
      </c>
      <c r="L14" s="7">
        <f t="shared" si="0"/>
        <v>1000</v>
      </c>
      <c r="M14" s="7">
        <f t="shared" si="0"/>
        <v>1100</v>
      </c>
    </row>
    <row r="15" spans="1:13" s="6" customFormat="1" x14ac:dyDescent="0.4">
      <c r="A15" s="5" t="s">
        <v>26</v>
      </c>
      <c r="B15" s="6">
        <f>B12*B9</f>
        <v>100</v>
      </c>
      <c r="C15" s="6">
        <f>C12*B9</f>
        <v>100</v>
      </c>
      <c r="D15" s="6">
        <f>D12*B9</f>
        <v>100</v>
      </c>
      <c r="E15" s="6">
        <f>E12*B9</f>
        <v>100</v>
      </c>
      <c r="F15" s="6">
        <f>F12*B9</f>
        <v>100</v>
      </c>
      <c r="G15" s="6">
        <f>G12*B9</f>
        <v>100</v>
      </c>
      <c r="H15" s="6">
        <f>H12*B9</f>
        <v>100</v>
      </c>
      <c r="I15" s="6">
        <f>I12*B9</f>
        <v>100</v>
      </c>
      <c r="J15" s="6">
        <f>J12*B9</f>
        <v>100</v>
      </c>
      <c r="K15" s="6">
        <f>K12*B9</f>
        <v>100</v>
      </c>
      <c r="L15" s="6">
        <f>L12*B9</f>
        <v>100</v>
      </c>
      <c r="M15" s="6">
        <f>M12*B9</f>
        <v>100</v>
      </c>
    </row>
    <row r="16" spans="1:13" s="6" customFormat="1" x14ac:dyDescent="0.4">
      <c r="A16" s="5" t="s">
        <v>27</v>
      </c>
      <c r="B16" s="7">
        <f t="shared" ref="B16:M16" si="1">B14+B15</f>
        <v>100</v>
      </c>
      <c r="C16" s="7">
        <f t="shared" si="1"/>
        <v>200</v>
      </c>
      <c r="D16" s="7">
        <f t="shared" si="1"/>
        <v>300</v>
      </c>
      <c r="E16" s="7">
        <f t="shared" si="1"/>
        <v>400</v>
      </c>
      <c r="F16" s="7">
        <f t="shared" si="1"/>
        <v>500</v>
      </c>
      <c r="G16" s="7">
        <f t="shared" si="1"/>
        <v>600</v>
      </c>
      <c r="H16" s="7">
        <f t="shared" si="1"/>
        <v>700</v>
      </c>
      <c r="I16" s="7">
        <f t="shared" si="1"/>
        <v>800</v>
      </c>
      <c r="J16" s="7">
        <f t="shared" si="1"/>
        <v>900</v>
      </c>
      <c r="K16" s="7">
        <f t="shared" si="1"/>
        <v>1000</v>
      </c>
      <c r="L16" s="7">
        <f t="shared" si="1"/>
        <v>1100</v>
      </c>
      <c r="M16" s="7">
        <f t="shared" si="1"/>
        <v>1200</v>
      </c>
    </row>
    <row r="17" spans="1:13" x14ac:dyDescent="0.4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3" s="10" customFormat="1" x14ac:dyDescent="0.4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3" s="10" customFormat="1" x14ac:dyDescent="0.4">
      <c r="A19" s="11" t="s">
        <v>33</v>
      </c>
      <c r="B19" s="9">
        <f>15*B16</f>
        <v>1500</v>
      </c>
      <c r="C19" s="9">
        <f t="shared" ref="C19:M19" si="2">15*C16</f>
        <v>3000</v>
      </c>
      <c r="D19" s="9">
        <f t="shared" si="2"/>
        <v>4500</v>
      </c>
      <c r="E19" s="9">
        <f t="shared" si="2"/>
        <v>6000</v>
      </c>
      <c r="F19" s="9">
        <f t="shared" si="2"/>
        <v>7500</v>
      </c>
      <c r="G19" s="9">
        <f t="shared" si="2"/>
        <v>9000</v>
      </c>
      <c r="H19" s="9">
        <f t="shared" si="2"/>
        <v>10500</v>
      </c>
      <c r="I19" s="9">
        <f t="shared" si="2"/>
        <v>12000</v>
      </c>
      <c r="J19" s="9">
        <f t="shared" si="2"/>
        <v>13500</v>
      </c>
      <c r="K19" s="9">
        <f t="shared" si="2"/>
        <v>15000</v>
      </c>
      <c r="L19" s="9">
        <f t="shared" si="2"/>
        <v>16500</v>
      </c>
      <c r="M19" s="9">
        <f t="shared" si="2"/>
        <v>18000</v>
      </c>
    </row>
    <row r="20" spans="1:13" s="10" customFormat="1" x14ac:dyDescent="0.4">
      <c r="A20" s="11" t="s">
        <v>34</v>
      </c>
      <c r="B20" s="9">
        <f>20*B16</f>
        <v>2000</v>
      </c>
      <c r="C20" s="9">
        <f t="shared" ref="C20:M20" si="3">20*C16</f>
        <v>4000</v>
      </c>
      <c r="D20" s="9">
        <f t="shared" si="3"/>
        <v>6000</v>
      </c>
      <c r="E20" s="9">
        <f t="shared" si="3"/>
        <v>8000</v>
      </c>
      <c r="F20" s="9">
        <f t="shared" si="3"/>
        <v>10000</v>
      </c>
      <c r="G20" s="9">
        <f t="shared" si="3"/>
        <v>12000</v>
      </c>
      <c r="H20" s="9">
        <f t="shared" si="3"/>
        <v>14000</v>
      </c>
      <c r="I20" s="9">
        <f t="shared" si="3"/>
        <v>16000</v>
      </c>
      <c r="J20" s="9">
        <f t="shared" si="3"/>
        <v>18000</v>
      </c>
      <c r="K20" s="9">
        <f t="shared" si="3"/>
        <v>20000</v>
      </c>
      <c r="L20" s="9">
        <f t="shared" si="3"/>
        <v>22000</v>
      </c>
      <c r="M20" s="9">
        <f t="shared" si="3"/>
        <v>24000</v>
      </c>
    </row>
    <row r="21" spans="1:13" s="10" customFormat="1" x14ac:dyDescent="0.4">
      <c r="A21" s="11" t="s">
        <v>35</v>
      </c>
      <c r="B21" s="9">
        <f>25*B16</f>
        <v>2500</v>
      </c>
      <c r="C21" s="9">
        <f t="shared" ref="C21:M21" si="4">25*C16</f>
        <v>5000</v>
      </c>
      <c r="D21" s="9">
        <f t="shared" si="4"/>
        <v>7500</v>
      </c>
      <c r="E21" s="9">
        <f t="shared" si="4"/>
        <v>10000</v>
      </c>
      <c r="F21" s="9">
        <f t="shared" si="4"/>
        <v>12500</v>
      </c>
      <c r="G21" s="9">
        <f t="shared" si="4"/>
        <v>15000</v>
      </c>
      <c r="H21" s="9">
        <f t="shared" si="4"/>
        <v>17500</v>
      </c>
      <c r="I21" s="9">
        <f t="shared" si="4"/>
        <v>20000</v>
      </c>
      <c r="J21" s="9">
        <f t="shared" si="4"/>
        <v>22500</v>
      </c>
      <c r="K21" s="9">
        <f t="shared" si="4"/>
        <v>25000</v>
      </c>
      <c r="L21" s="9">
        <f t="shared" si="4"/>
        <v>27500</v>
      </c>
      <c r="M21" s="9">
        <f t="shared" si="4"/>
        <v>30000</v>
      </c>
    </row>
  </sheetData>
  <pageMargins left="0.25" right="0.25" top="0.75" bottom="0.75" header="0.3" footer="0.3"/>
  <pageSetup paperSize="9" scale="58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787A4-8B5C-4B14-9E6C-C53244817AF5}">
  <sheetPr>
    <pageSetUpPr fitToPage="1"/>
  </sheetPr>
  <dimension ref="A2:M28"/>
  <sheetViews>
    <sheetView topLeftCell="A13" zoomScaleNormal="100" workbookViewId="0">
      <selection activeCell="A5" sqref="A1:XFD1048576"/>
    </sheetView>
  </sheetViews>
  <sheetFormatPr defaultColWidth="37.21875" defaultRowHeight="21" x14ac:dyDescent="0.4"/>
  <cols>
    <col min="1" max="1" width="55.77734375" style="1" bestFit="1" customWidth="1"/>
    <col min="2" max="4" width="13.77734375" style="1" bestFit="1" customWidth="1"/>
    <col min="5" max="5" width="26.77734375" style="1" bestFit="1" customWidth="1"/>
    <col min="6" max="13" width="15.21875" style="1" bestFit="1" customWidth="1"/>
    <col min="14" max="16384" width="37.21875" style="1"/>
  </cols>
  <sheetData>
    <row r="2" spans="1:13" x14ac:dyDescent="0.4">
      <c r="E2" s="2" t="s">
        <v>29</v>
      </c>
    </row>
    <row r="3" spans="1:13" x14ac:dyDescent="0.4">
      <c r="A3" s="2" t="s">
        <v>36</v>
      </c>
      <c r="E3" s="3"/>
    </row>
    <row r="4" spans="1:13" x14ac:dyDescent="0.4">
      <c r="E4" s="3"/>
    </row>
    <row r="5" spans="1:13" x14ac:dyDescent="0.4">
      <c r="A5" s="3"/>
      <c r="F5" s="3"/>
    </row>
    <row r="7" spans="1:13" x14ac:dyDescent="0.4">
      <c r="A7" s="3" t="s">
        <v>10</v>
      </c>
    </row>
    <row r="9" spans="1:13" x14ac:dyDescent="0.4">
      <c r="A9" s="1" t="s">
        <v>31</v>
      </c>
      <c r="B9" s="1">
        <v>1</v>
      </c>
    </row>
    <row r="11" spans="1:13" x14ac:dyDescent="0.4">
      <c r="B11" s="4" t="s">
        <v>12</v>
      </c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</row>
    <row r="12" spans="1:13" x14ac:dyDescent="0.4">
      <c r="A12" s="5" t="s">
        <v>32</v>
      </c>
      <c r="B12" s="6">
        <v>100</v>
      </c>
      <c r="C12" s="6">
        <v>100</v>
      </c>
      <c r="D12" s="6">
        <v>100</v>
      </c>
      <c r="E12" s="6">
        <v>100</v>
      </c>
      <c r="F12" s="6">
        <v>100</v>
      </c>
      <c r="G12" s="6">
        <v>100</v>
      </c>
      <c r="H12" s="6">
        <v>100</v>
      </c>
      <c r="I12" s="6">
        <v>100</v>
      </c>
      <c r="J12" s="6">
        <v>100</v>
      </c>
      <c r="K12" s="6">
        <v>100</v>
      </c>
      <c r="L12" s="6">
        <v>100</v>
      </c>
      <c r="M12" s="6">
        <v>100</v>
      </c>
    </row>
    <row r="13" spans="1:13" x14ac:dyDescent="0.4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 x14ac:dyDescent="0.4">
      <c r="A14" s="5" t="s">
        <v>25</v>
      </c>
      <c r="B14" s="7">
        <v>0</v>
      </c>
      <c r="C14" s="7">
        <f>B14+B16</f>
        <v>100</v>
      </c>
      <c r="D14" s="7">
        <f t="shared" ref="D14:M14" si="0">C16</f>
        <v>200</v>
      </c>
      <c r="E14" s="7">
        <f t="shared" si="0"/>
        <v>300</v>
      </c>
      <c r="F14" s="7">
        <f t="shared" si="0"/>
        <v>400</v>
      </c>
      <c r="G14" s="7">
        <f t="shared" si="0"/>
        <v>500</v>
      </c>
      <c r="H14" s="7">
        <f t="shared" si="0"/>
        <v>600</v>
      </c>
      <c r="I14" s="7">
        <f t="shared" si="0"/>
        <v>700</v>
      </c>
      <c r="J14" s="7">
        <f t="shared" si="0"/>
        <v>800</v>
      </c>
      <c r="K14" s="7">
        <f t="shared" si="0"/>
        <v>900</v>
      </c>
      <c r="L14" s="7">
        <f t="shared" si="0"/>
        <v>1000</v>
      </c>
      <c r="M14" s="7">
        <f t="shared" si="0"/>
        <v>1100</v>
      </c>
    </row>
    <row r="15" spans="1:13" s="6" customFormat="1" x14ac:dyDescent="0.4">
      <c r="A15" s="5" t="s">
        <v>26</v>
      </c>
      <c r="B15" s="6">
        <f>B12*B9</f>
        <v>100</v>
      </c>
      <c r="C15" s="6">
        <f>C12*B9</f>
        <v>100</v>
      </c>
      <c r="D15" s="6">
        <f>D12*B9</f>
        <v>100</v>
      </c>
      <c r="E15" s="6">
        <f>E12*B9</f>
        <v>100</v>
      </c>
      <c r="F15" s="6">
        <f>F12*B9</f>
        <v>100</v>
      </c>
      <c r="G15" s="6">
        <f>G12*B9</f>
        <v>100</v>
      </c>
      <c r="H15" s="6">
        <f>H12*B9</f>
        <v>100</v>
      </c>
      <c r="I15" s="6">
        <f>I12*B9</f>
        <v>100</v>
      </c>
      <c r="J15" s="6">
        <f>J12*B9</f>
        <v>100</v>
      </c>
      <c r="K15" s="6">
        <f>K12*B9</f>
        <v>100</v>
      </c>
      <c r="L15" s="6">
        <f>L12*B9</f>
        <v>100</v>
      </c>
      <c r="M15" s="6">
        <f>M12*B9</f>
        <v>100</v>
      </c>
    </row>
    <row r="16" spans="1:13" s="6" customFormat="1" x14ac:dyDescent="0.4">
      <c r="A16" s="5" t="s">
        <v>27</v>
      </c>
      <c r="B16" s="7">
        <f t="shared" ref="B16:M16" si="1">B14+B15</f>
        <v>100</v>
      </c>
      <c r="C16" s="7">
        <f t="shared" si="1"/>
        <v>200</v>
      </c>
      <c r="D16" s="7">
        <f t="shared" si="1"/>
        <v>300</v>
      </c>
      <c r="E16" s="7">
        <f t="shared" si="1"/>
        <v>400</v>
      </c>
      <c r="F16" s="7">
        <f t="shared" si="1"/>
        <v>500</v>
      </c>
      <c r="G16" s="7">
        <f t="shared" si="1"/>
        <v>600</v>
      </c>
      <c r="H16" s="7">
        <f t="shared" si="1"/>
        <v>700</v>
      </c>
      <c r="I16" s="7">
        <f t="shared" si="1"/>
        <v>800</v>
      </c>
      <c r="J16" s="7">
        <f t="shared" si="1"/>
        <v>900</v>
      </c>
      <c r="K16" s="7">
        <f t="shared" si="1"/>
        <v>1000</v>
      </c>
      <c r="L16" s="7">
        <f t="shared" si="1"/>
        <v>1100</v>
      </c>
      <c r="M16" s="7">
        <f t="shared" si="1"/>
        <v>1200</v>
      </c>
    </row>
    <row r="17" spans="1:13" x14ac:dyDescent="0.4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3" s="10" customFormat="1" x14ac:dyDescent="0.4">
      <c r="A18" s="14" t="s">
        <v>37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3" s="10" customFormat="1" x14ac:dyDescent="0.4">
      <c r="A19" s="14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13" s="10" customFormat="1" x14ac:dyDescent="0.4">
      <c r="A20" s="11" t="s">
        <v>38</v>
      </c>
      <c r="B20" s="9">
        <f>17*B16</f>
        <v>1700</v>
      </c>
      <c r="C20" s="9">
        <f t="shared" ref="C20:M20" si="2">17*C16</f>
        <v>3400</v>
      </c>
      <c r="D20" s="9">
        <f t="shared" si="2"/>
        <v>5100</v>
      </c>
      <c r="E20" s="9">
        <f t="shared" si="2"/>
        <v>6800</v>
      </c>
      <c r="F20" s="9">
        <f t="shared" si="2"/>
        <v>8500</v>
      </c>
      <c r="G20" s="9">
        <f t="shared" si="2"/>
        <v>10200</v>
      </c>
      <c r="H20" s="9">
        <f t="shared" si="2"/>
        <v>11900</v>
      </c>
      <c r="I20" s="9">
        <f t="shared" si="2"/>
        <v>13600</v>
      </c>
      <c r="J20" s="9">
        <f t="shared" si="2"/>
        <v>15300</v>
      </c>
      <c r="K20" s="9">
        <f t="shared" si="2"/>
        <v>17000</v>
      </c>
      <c r="L20" s="9">
        <f t="shared" si="2"/>
        <v>18700</v>
      </c>
      <c r="M20" s="9">
        <f t="shared" si="2"/>
        <v>20400</v>
      </c>
    </row>
    <row r="21" spans="1:13" s="10" customFormat="1" x14ac:dyDescent="0.4">
      <c r="A21" s="11" t="s">
        <v>39</v>
      </c>
      <c r="B21" s="9">
        <f>20*B16</f>
        <v>2000</v>
      </c>
      <c r="C21" s="9">
        <f t="shared" ref="C21:M21" si="3">20*C16</f>
        <v>4000</v>
      </c>
      <c r="D21" s="9">
        <f t="shared" si="3"/>
        <v>6000</v>
      </c>
      <c r="E21" s="9">
        <f t="shared" si="3"/>
        <v>8000</v>
      </c>
      <c r="F21" s="9">
        <f t="shared" si="3"/>
        <v>10000</v>
      </c>
      <c r="G21" s="9">
        <f t="shared" si="3"/>
        <v>12000</v>
      </c>
      <c r="H21" s="9">
        <f t="shared" si="3"/>
        <v>14000</v>
      </c>
      <c r="I21" s="9">
        <f t="shared" si="3"/>
        <v>16000</v>
      </c>
      <c r="J21" s="9">
        <f t="shared" si="3"/>
        <v>18000</v>
      </c>
      <c r="K21" s="9">
        <f t="shared" si="3"/>
        <v>20000</v>
      </c>
      <c r="L21" s="9">
        <f t="shared" si="3"/>
        <v>22000</v>
      </c>
      <c r="M21" s="9">
        <f t="shared" si="3"/>
        <v>24000</v>
      </c>
    </row>
    <row r="22" spans="1:13" s="10" customFormat="1" x14ac:dyDescent="0.4">
      <c r="A22" s="11" t="s">
        <v>40</v>
      </c>
      <c r="B22" s="9">
        <f>22*B16</f>
        <v>2200</v>
      </c>
      <c r="C22" s="9">
        <f t="shared" ref="C22:M22" si="4">22*C16</f>
        <v>4400</v>
      </c>
      <c r="D22" s="9">
        <f t="shared" si="4"/>
        <v>6600</v>
      </c>
      <c r="E22" s="9">
        <f t="shared" si="4"/>
        <v>8800</v>
      </c>
      <c r="F22" s="9">
        <f t="shared" si="4"/>
        <v>11000</v>
      </c>
      <c r="G22" s="9">
        <f t="shared" si="4"/>
        <v>13200</v>
      </c>
      <c r="H22" s="9">
        <f t="shared" si="4"/>
        <v>15400</v>
      </c>
      <c r="I22" s="9">
        <f t="shared" si="4"/>
        <v>17600</v>
      </c>
      <c r="J22" s="9">
        <f t="shared" si="4"/>
        <v>19800</v>
      </c>
      <c r="K22" s="9">
        <f t="shared" si="4"/>
        <v>22000</v>
      </c>
      <c r="L22" s="9">
        <f t="shared" si="4"/>
        <v>24200</v>
      </c>
      <c r="M22" s="9">
        <f t="shared" si="4"/>
        <v>26400</v>
      </c>
    </row>
    <row r="24" spans="1:13" x14ac:dyDescent="0.4">
      <c r="A24" s="14" t="s">
        <v>41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 spans="1:13" x14ac:dyDescent="0.4">
      <c r="A25" s="14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spans="1:13" x14ac:dyDescent="0.4">
      <c r="A26" s="11" t="s">
        <v>42</v>
      </c>
      <c r="B26" s="9">
        <f>19*B16</f>
        <v>1900</v>
      </c>
      <c r="C26" s="9">
        <f t="shared" ref="C26:M26" si="5">19*C16</f>
        <v>3800</v>
      </c>
      <c r="D26" s="9">
        <f t="shared" si="5"/>
        <v>5700</v>
      </c>
      <c r="E26" s="9">
        <f t="shared" si="5"/>
        <v>7600</v>
      </c>
      <c r="F26" s="9">
        <f t="shared" si="5"/>
        <v>9500</v>
      </c>
      <c r="G26" s="9">
        <f t="shared" si="5"/>
        <v>11400</v>
      </c>
      <c r="H26" s="9">
        <f t="shared" si="5"/>
        <v>13300</v>
      </c>
      <c r="I26" s="9">
        <f t="shared" si="5"/>
        <v>15200</v>
      </c>
      <c r="J26" s="9">
        <f t="shared" si="5"/>
        <v>17100</v>
      </c>
      <c r="K26" s="9">
        <f t="shared" si="5"/>
        <v>19000</v>
      </c>
      <c r="L26" s="9">
        <f t="shared" si="5"/>
        <v>20900</v>
      </c>
      <c r="M26" s="9">
        <f t="shared" si="5"/>
        <v>22800</v>
      </c>
    </row>
    <row r="27" spans="1:13" x14ac:dyDescent="0.4">
      <c r="A27" s="11" t="s">
        <v>43</v>
      </c>
      <c r="B27" s="9">
        <f>22*B16</f>
        <v>2200</v>
      </c>
      <c r="C27" s="9">
        <f t="shared" ref="C27:M27" si="6">22*C16</f>
        <v>4400</v>
      </c>
      <c r="D27" s="9">
        <f t="shared" si="6"/>
        <v>6600</v>
      </c>
      <c r="E27" s="9">
        <f t="shared" si="6"/>
        <v>8800</v>
      </c>
      <c r="F27" s="9">
        <f t="shared" si="6"/>
        <v>11000</v>
      </c>
      <c r="G27" s="9">
        <f t="shared" si="6"/>
        <v>13200</v>
      </c>
      <c r="H27" s="9">
        <f t="shared" si="6"/>
        <v>15400</v>
      </c>
      <c r="I27" s="9">
        <f t="shared" si="6"/>
        <v>17600</v>
      </c>
      <c r="J27" s="9">
        <f t="shared" si="6"/>
        <v>19800</v>
      </c>
      <c r="K27" s="9">
        <f t="shared" si="6"/>
        <v>22000</v>
      </c>
      <c r="L27" s="9">
        <f t="shared" si="6"/>
        <v>24200</v>
      </c>
      <c r="M27" s="9">
        <f t="shared" si="6"/>
        <v>26400</v>
      </c>
    </row>
    <row r="28" spans="1:13" x14ac:dyDescent="0.4">
      <c r="A28" s="11" t="s">
        <v>44</v>
      </c>
      <c r="B28" s="9">
        <f>33*B16</f>
        <v>3300</v>
      </c>
      <c r="C28" s="9">
        <f t="shared" ref="C28:M28" si="7">33*C16</f>
        <v>6600</v>
      </c>
      <c r="D28" s="9">
        <f t="shared" si="7"/>
        <v>9900</v>
      </c>
      <c r="E28" s="9">
        <f t="shared" si="7"/>
        <v>13200</v>
      </c>
      <c r="F28" s="9">
        <f t="shared" si="7"/>
        <v>16500</v>
      </c>
      <c r="G28" s="9">
        <f t="shared" si="7"/>
        <v>19800</v>
      </c>
      <c r="H28" s="9">
        <f t="shared" si="7"/>
        <v>23100</v>
      </c>
      <c r="I28" s="9">
        <f t="shared" si="7"/>
        <v>26400</v>
      </c>
      <c r="J28" s="9">
        <f t="shared" si="7"/>
        <v>29700</v>
      </c>
      <c r="K28" s="9">
        <f t="shared" si="7"/>
        <v>33000</v>
      </c>
      <c r="L28" s="9">
        <f t="shared" si="7"/>
        <v>36300</v>
      </c>
      <c r="M28" s="9">
        <f t="shared" si="7"/>
        <v>39600</v>
      </c>
    </row>
  </sheetData>
  <pageMargins left="0.25" right="0.25" top="0.75" bottom="0.75" header="0.3" footer="0.3"/>
  <pageSetup paperSize="9" scale="58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A40F0DD57A4B44BF4246A240DE7B91" ma:contentTypeVersion="18" ma:contentTypeDescription="Create a new document." ma:contentTypeScope="" ma:versionID="d7530d030b9b82776578b155bba4a835">
  <xsd:schema xmlns:xsd="http://www.w3.org/2001/XMLSchema" xmlns:xs="http://www.w3.org/2001/XMLSchema" xmlns:p="http://schemas.microsoft.com/office/2006/metadata/properties" xmlns:ns2="fee4ee06-3886-45a3-bcb4-4546af4b59dc" xmlns:ns3="88d174be-3aec-45ec-8e53-4e9a86cf92cb" targetNamespace="http://schemas.microsoft.com/office/2006/metadata/properties" ma:root="true" ma:fieldsID="17fb5acf93291d5523c38cc051ed7e19" ns2:_="" ns3:_="">
    <xsd:import namespace="fee4ee06-3886-45a3-bcb4-4546af4b59dc"/>
    <xsd:import namespace="88d174be-3aec-45ec-8e53-4e9a86cf92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e4ee06-3886-45a3-bcb4-4546af4b59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4fc5b09-2a97-43e1-b98a-2e3c54d476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d174be-3aec-45ec-8e53-4e9a86cf92cb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32c936a-0b94-40b1-9659-9cc61d2344ed}" ma:internalName="TaxCatchAll" ma:showField="CatchAllData" ma:web="88d174be-3aec-45ec-8e53-4e9a86cf92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8d174be-3aec-45ec-8e53-4e9a86cf92cb" xsi:nil="true"/>
    <lcf76f155ced4ddcb4097134ff3c332f xmlns="fee4ee06-3886-45a3-bcb4-4546af4b59d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EF8A53-2E9F-49E3-A83C-C5409BE199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BD37E6-2366-40F8-AADE-DF591DD252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e4ee06-3886-45a3-bcb4-4546af4b59dc"/>
    <ds:schemaRef ds:uri="88d174be-3aec-45ec-8e53-4e9a86cf92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DD27C5-5FC9-40AE-96FC-775AB0CBDADC}">
  <ds:schemaRefs>
    <ds:schemaRef ds:uri="http://schemas.microsoft.com/office/2006/metadata/properties"/>
    <ds:schemaRef ds:uri="http://schemas.microsoft.com/office/infopath/2007/PartnerControls"/>
    <ds:schemaRef ds:uri="88d174be-3aec-45ec-8e53-4e9a86cf92cb"/>
    <ds:schemaRef ds:uri="fee4ee06-3886-45a3-bcb4-4546af4b59d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</vt:lpstr>
      <vt:lpstr>INCOME PROTECTOR</vt:lpstr>
      <vt:lpstr>FUNERAL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Eddie Alivio</dc:creator>
  <cp:keywords/>
  <dc:description/>
  <cp:lastModifiedBy>Ravelle Kok</cp:lastModifiedBy>
  <cp:revision/>
  <cp:lastPrinted>2025-01-28T07:22:07Z</cp:lastPrinted>
  <dcterms:created xsi:type="dcterms:W3CDTF">2019-10-28T11:48:46Z</dcterms:created>
  <dcterms:modified xsi:type="dcterms:W3CDTF">2026-04-01T07:05:31Z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0x010100BAA40F0DD57A4B44BF4246A240DE7B91</vt:lpwstr>
  </property>
  <property fmtid="{D5CDD505-2E9C-101B-9397-08002B2CF9AE}" pid="3" name="MediaServiceImageTags">
    <vt:lpwstr/>
  </property>
</Properties>
</file>